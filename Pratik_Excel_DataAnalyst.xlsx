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\Desktop\"/>
    </mc:Choice>
  </mc:AlternateContent>
  <xr:revisionPtr revIDLastSave="0" documentId="13_ncr:1_{E0AC207D-C389-47F4-8333-D6E068BE34CA}" xr6:coauthVersionLast="47" xr6:coauthVersionMax="47" xr10:uidLastSave="{00000000-0000-0000-0000-000000000000}"/>
  <bookViews>
    <workbookView xWindow="-108" yWindow="-108" windowWidth="23256" windowHeight="12456" xr2:uid="{49C2E224-E7F4-4670-9AC7-8B1E7C35A48A}"/>
  </bookViews>
  <sheets>
    <sheet name="Formulas_Practice" sheetId="1" r:id="rId1"/>
    <sheet name="Pivot_Practice" sheetId="2" r:id="rId2"/>
    <sheet name="Dashboard_Proje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4" i="1"/>
  <c r="D25" i="1"/>
  <c r="D26" i="1"/>
  <c r="D27" i="1"/>
  <c r="D22" i="1"/>
  <c r="L13" i="1"/>
  <c r="L14" i="1"/>
  <c r="L15" i="1"/>
  <c r="L16" i="1"/>
  <c r="L17" i="1"/>
  <c r="L12" i="1"/>
  <c r="E15" i="1"/>
  <c r="E13" i="1"/>
  <c r="E11" i="1"/>
  <c r="E9" i="1"/>
</calcChain>
</file>

<file path=xl/sharedStrings.xml><?xml version="1.0" encoding="utf-8"?>
<sst xmlns="http://schemas.openxmlformats.org/spreadsheetml/2006/main" count="76" uniqueCount="28">
  <si>
    <t>EmpID</t>
  </si>
  <si>
    <t>Name</t>
  </si>
  <si>
    <t>Department</t>
  </si>
  <si>
    <t>Salary</t>
  </si>
  <si>
    <t>Month</t>
  </si>
  <si>
    <t>Status</t>
  </si>
  <si>
    <t>Raj</t>
  </si>
  <si>
    <t>Sales</t>
  </si>
  <si>
    <t>Jan</t>
  </si>
  <si>
    <t>Present</t>
  </si>
  <si>
    <t>Priya</t>
  </si>
  <si>
    <t>HR</t>
  </si>
  <si>
    <t>Absent</t>
  </si>
  <si>
    <t>Amit</t>
  </si>
  <si>
    <t>IT</t>
  </si>
  <si>
    <t>Suman</t>
  </si>
  <si>
    <t>Neha</t>
  </si>
  <si>
    <t>Arjun</t>
  </si>
  <si>
    <t>q1. Find the total salary of Sales department</t>
  </si>
  <si>
    <t>q2. Count number of Absents</t>
  </si>
  <si>
    <t>q3. Find total salary for IT department in Jan</t>
  </si>
  <si>
    <t>q4. Count Present employees in Sales</t>
  </si>
  <si>
    <t>Manager</t>
  </si>
  <si>
    <t>Rohan</t>
  </si>
  <si>
    <t>Meera</t>
  </si>
  <si>
    <t>Karan</t>
  </si>
  <si>
    <t>q5. Find manager name for each employee using VLOOKUP</t>
  </si>
  <si>
    <t>q6. Replace VLOOKUP with 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</si>
</sst>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EE83-AC2F-4CA4-83D0-EEDB4DF24224}">
  <dimension ref="A1:L27"/>
  <sheetViews>
    <sheetView tabSelected="1" topLeftCell="A4" workbookViewId="0">
      <selection activeCell="F23" sqref="F23"/>
    </sheetView>
  </sheetViews>
  <sheetFormatPr defaultRowHeight="14.4" x14ac:dyDescent="0.3"/>
  <cols>
    <col min="3" max="3" width="11" bestFit="1" customWidth="1"/>
    <col min="9" max="9" width="11" bestFit="1" customWidth="1"/>
    <col min="11" max="11" width="11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4" t="s">
        <v>2</v>
      </c>
      <c r="J1" s="4" t="s">
        <v>22</v>
      </c>
    </row>
    <row r="2" spans="1:12" x14ac:dyDescent="0.3">
      <c r="A2" s="2">
        <v>101</v>
      </c>
      <c r="B2" s="2" t="s">
        <v>6</v>
      </c>
      <c r="C2" s="2" t="s">
        <v>7</v>
      </c>
      <c r="D2" s="2">
        <v>32000</v>
      </c>
      <c r="E2" s="2" t="s">
        <v>8</v>
      </c>
      <c r="F2" s="2" t="s">
        <v>9</v>
      </c>
      <c r="I2" s="2" t="s">
        <v>7</v>
      </c>
      <c r="J2" s="2" t="s">
        <v>23</v>
      </c>
      <c r="K2" s="5"/>
    </row>
    <row r="3" spans="1:12" x14ac:dyDescent="0.3">
      <c r="A3" s="2">
        <v>102</v>
      </c>
      <c r="B3" s="2" t="s">
        <v>10</v>
      </c>
      <c r="C3" s="2" t="s">
        <v>11</v>
      </c>
      <c r="D3" s="2">
        <v>40000</v>
      </c>
      <c r="E3" s="2" t="s">
        <v>8</v>
      </c>
      <c r="F3" s="2" t="s">
        <v>12</v>
      </c>
      <c r="I3" s="2" t="s">
        <v>11</v>
      </c>
      <c r="J3" s="2" t="s">
        <v>24</v>
      </c>
      <c r="K3" s="5"/>
    </row>
    <row r="4" spans="1:12" x14ac:dyDescent="0.3">
      <c r="A4" s="2">
        <v>103</v>
      </c>
      <c r="B4" s="2" t="s">
        <v>13</v>
      </c>
      <c r="C4" s="2" t="s">
        <v>14</v>
      </c>
      <c r="D4" s="2">
        <v>55000</v>
      </c>
      <c r="E4" s="2" t="s">
        <v>8</v>
      </c>
      <c r="F4" s="2" t="s">
        <v>9</v>
      </c>
      <c r="I4" s="2" t="s">
        <v>14</v>
      </c>
      <c r="J4" s="2" t="s">
        <v>25</v>
      </c>
      <c r="K4" s="5"/>
    </row>
    <row r="5" spans="1:12" x14ac:dyDescent="0.3">
      <c r="A5" s="2">
        <v>104</v>
      </c>
      <c r="B5" s="2" t="s">
        <v>15</v>
      </c>
      <c r="C5" s="2" t="s">
        <v>7</v>
      </c>
      <c r="D5" s="2">
        <v>30000</v>
      </c>
      <c r="E5" s="2" t="s">
        <v>8</v>
      </c>
      <c r="F5" s="2" t="s">
        <v>9</v>
      </c>
    </row>
    <row r="6" spans="1:12" x14ac:dyDescent="0.3">
      <c r="A6" s="2">
        <v>105</v>
      </c>
      <c r="B6" s="2" t="s">
        <v>16</v>
      </c>
      <c r="C6" s="2" t="s">
        <v>14</v>
      </c>
      <c r="D6" s="2">
        <v>60000</v>
      </c>
      <c r="E6" s="2" t="s">
        <v>8</v>
      </c>
      <c r="F6" s="2" t="s">
        <v>12</v>
      </c>
    </row>
    <row r="7" spans="1:12" x14ac:dyDescent="0.3">
      <c r="A7" s="2">
        <v>106</v>
      </c>
      <c r="B7" s="2" t="s">
        <v>17</v>
      </c>
      <c r="C7" s="2" t="s">
        <v>7</v>
      </c>
      <c r="D7" s="2">
        <v>35000</v>
      </c>
      <c r="E7" s="2" t="s">
        <v>8</v>
      </c>
      <c r="F7" s="2" t="s">
        <v>9</v>
      </c>
    </row>
    <row r="9" spans="1:12" x14ac:dyDescent="0.3">
      <c r="A9" s="3" t="s">
        <v>18</v>
      </c>
      <c r="E9">
        <f>+SUMIF(C2:C7,"Sales",D2:D7)</f>
        <v>97000</v>
      </c>
      <c r="I9" s="3" t="s">
        <v>26</v>
      </c>
    </row>
    <row r="11" spans="1:12" x14ac:dyDescent="0.3">
      <c r="A11" s="3" t="s">
        <v>19</v>
      </c>
      <c r="E11">
        <f>COUNTIF(F2:F7,"Absent")</f>
        <v>2</v>
      </c>
      <c r="I11" s="1" t="s">
        <v>0</v>
      </c>
      <c r="J11" s="1" t="s">
        <v>1</v>
      </c>
      <c r="K11" s="4" t="s">
        <v>2</v>
      </c>
      <c r="L11" s="4" t="s">
        <v>22</v>
      </c>
    </row>
    <row r="12" spans="1:12" x14ac:dyDescent="0.3">
      <c r="I12" s="2">
        <v>101</v>
      </c>
      <c r="J12" s="2" t="s">
        <v>6</v>
      </c>
      <c r="K12" s="2" t="s">
        <v>7</v>
      </c>
      <c r="L12" s="6" t="str">
        <f>VLOOKUP(K12,$I$2:$J$4,2,0)</f>
        <v>Rohan</v>
      </c>
    </row>
    <row r="13" spans="1:12" x14ac:dyDescent="0.3">
      <c r="A13" s="3" t="s">
        <v>20</v>
      </c>
      <c r="E13">
        <f>SUMIFS(D2:D7,C2:C7,"IT",E2:E7,"Jan")</f>
        <v>115000</v>
      </c>
      <c r="I13" s="2">
        <v>102</v>
      </c>
      <c r="J13" s="2" t="s">
        <v>10</v>
      </c>
      <c r="K13" s="2" t="s">
        <v>11</v>
      </c>
      <c r="L13" s="6" t="str">
        <f t="shared" ref="L13:L17" si="0">VLOOKUP(K13,$I$2:$J$4,2,0)</f>
        <v>Meera</v>
      </c>
    </row>
    <row r="14" spans="1:12" x14ac:dyDescent="0.3">
      <c r="I14" s="2">
        <v>103</v>
      </c>
      <c r="J14" s="2" t="s">
        <v>13</v>
      </c>
      <c r="K14" s="2" t="s">
        <v>14</v>
      </c>
      <c r="L14" s="6" t="str">
        <f t="shared" si="0"/>
        <v>Karan</v>
      </c>
    </row>
    <row r="15" spans="1:12" x14ac:dyDescent="0.3">
      <c r="A15" s="3" t="s">
        <v>21</v>
      </c>
      <c r="E15">
        <f>COUNTIFS(C2:C7,"Sales",F2:F7,"Present")</f>
        <v>3</v>
      </c>
      <c r="I15" s="2">
        <v>104</v>
      </c>
      <c r="J15" s="2" t="s">
        <v>15</v>
      </c>
      <c r="K15" s="2" t="s">
        <v>7</v>
      </c>
      <c r="L15" s="6" t="str">
        <f t="shared" si="0"/>
        <v>Rohan</v>
      </c>
    </row>
    <row r="16" spans="1:12" x14ac:dyDescent="0.3">
      <c r="I16" s="2">
        <v>105</v>
      </c>
      <c r="J16" s="2" t="s">
        <v>16</v>
      </c>
      <c r="K16" s="2" t="s">
        <v>14</v>
      </c>
      <c r="L16" s="6" t="str">
        <f t="shared" si="0"/>
        <v>Karan</v>
      </c>
    </row>
    <row r="17" spans="1:12" x14ac:dyDescent="0.3">
      <c r="I17" s="2">
        <v>106</v>
      </c>
      <c r="J17" s="2" t="s">
        <v>17</v>
      </c>
      <c r="K17" s="2" t="s">
        <v>7</v>
      </c>
      <c r="L17" s="6" t="str">
        <f t="shared" si="0"/>
        <v>Rohan</v>
      </c>
    </row>
    <row r="19" spans="1:12" x14ac:dyDescent="0.3">
      <c r="A19" s="3" t="s">
        <v>27</v>
      </c>
    </row>
    <row r="21" spans="1:12" x14ac:dyDescent="0.3">
      <c r="A21" s="1" t="s">
        <v>0</v>
      </c>
      <c r="B21" s="1" t="s">
        <v>1</v>
      </c>
      <c r="C21" s="4" t="s">
        <v>2</v>
      </c>
      <c r="D21" s="4" t="s">
        <v>22</v>
      </c>
    </row>
    <row r="22" spans="1:12" x14ac:dyDescent="0.3">
      <c r="A22" s="2">
        <v>101</v>
      </c>
      <c r="B22" s="2" t="s">
        <v>6</v>
      </c>
      <c r="C22" s="2" t="s">
        <v>7</v>
      </c>
      <c r="D22" s="6" t="str">
        <f>_xlfn.XLOOKUP(C22,$I$2:$I$4,$J$2:$J$4)</f>
        <v>Rohan</v>
      </c>
    </row>
    <row r="23" spans="1:12" x14ac:dyDescent="0.3">
      <c r="A23" s="2">
        <v>102</v>
      </c>
      <c r="B23" s="2" t="s">
        <v>10</v>
      </c>
      <c r="C23" s="2" t="s">
        <v>11</v>
      </c>
      <c r="D23" s="6" t="str">
        <f t="shared" ref="D23:D27" si="1">_xlfn.XLOOKUP(C23,$I$2:$I$4,$J$2:$J$4)</f>
        <v>Meera</v>
      </c>
    </row>
    <row r="24" spans="1:12" x14ac:dyDescent="0.3">
      <c r="A24" s="2">
        <v>103</v>
      </c>
      <c r="B24" s="2" t="s">
        <v>13</v>
      </c>
      <c r="C24" s="2" t="s">
        <v>14</v>
      </c>
      <c r="D24" s="6" t="str">
        <f t="shared" si="1"/>
        <v>Karan</v>
      </c>
    </row>
    <row r="25" spans="1:12" x14ac:dyDescent="0.3">
      <c r="A25" s="2">
        <v>104</v>
      </c>
      <c r="B25" s="2" t="s">
        <v>15</v>
      </c>
      <c r="C25" s="2" t="s">
        <v>7</v>
      </c>
      <c r="D25" s="6" t="str">
        <f t="shared" si="1"/>
        <v>Rohan</v>
      </c>
    </row>
    <row r="26" spans="1:12" x14ac:dyDescent="0.3">
      <c r="A26" s="2">
        <v>105</v>
      </c>
      <c r="B26" s="2" t="s">
        <v>16</v>
      </c>
      <c r="C26" s="2" t="s">
        <v>14</v>
      </c>
      <c r="D26" s="6" t="str">
        <f t="shared" si="1"/>
        <v>Karan</v>
      </c>
    </row>
    <row r="27" spans="1:12" x14ac:dyDescent="0.3">
      <c r="A27" s="2">
        <v>106</v>
      </c>
      <c r="B27" s="2" t="s">
        <v>17</v>
      </c>
      <c r="C27" s="2" t="s">
        <v>7</v>
      </c>
      <c r="D27" s="6" t="str">
        <f t="shared" si="1"/>
        <v>Rohan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30AA-9545-467C-941B-10D2028ED243}">
  <dimension ref="A1"/>
  <sheetViews>
    <sheetView workbookViewId="0"/>
  </sheetViews>
  <sheetFormatPr defaultRowHeight="14.4" x14ac:dyDescent="0.3"/>
  <sheetData>
    <row r="1" spans="1:1" x14ac:dyDescent="0.3">
      <c r="A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D514-1867-4B4F-957D-1643AF3087C9}">
  <dimension ref="A1"/>
  <sheetViews>
    <sheetView workbookViewId="0">
      <selection activeCell="F15" sqref="F1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Formulas_Practice</vt:lpstr>
      <vt:lpstr>Pivot_Practice</vt:lpstr>
      <vt:lpstr>Dashboard_Project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Chatterjee</dc:creator>
  <cp:lastModifiedBy>Pratik Chatterjee</cp:lastModifiedBy>
  <dcterms:created xsi:type="dcterms:W3CDTF">2025-12-09T08:20:56Z</dcterms:created>
  <dcterms:modified xsi:type="dcterms:W3CDTF">2025-12-09T08:52:09Z</dcterms:modified>
</cp:coreProperties>
</file>